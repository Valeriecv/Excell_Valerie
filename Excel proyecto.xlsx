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ube2\Downloads\"/>
    </mc:Choice>
  </mc:AlternateContent>
  <xr:revisionPtr revIDLastSave="0" documentId="8_{C828890D-C192-4796-8E53-492A37B49B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nóstico" sheetId="4" r:id="rId1"/>
    <sheet name="Datos_y_Analisis" sheetId="1" r:id="rId2"/>
    <sheet name="Documentacion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C14" i="4"/>
  <c r="C15" i="4"/>
  <c r="C16" i="4"/>
  <c r="C17" i="4"/>
  <c r="C18" i="4"/>
  <c r="C19" i="4"/>
  <c r="D14" i="4" l="1"/>
  <c r="E14" i="4"/>
  <c r="E15" i="4"/>
  <c r="D15" i="4"/>
  <c r="D16" i="4"/>
  <c r="E16" i="4"/>
  <c r="E17" i="4"/>
  <c r="D17" i="4"/>
  <c r="D18" i="4"/>
  <c r="E18" i="4"/>
  <c r="E19" i="4"/>
  <c r="D19" i="4"/>
</calcChain>
</file>

<file path=xl/sharedStrings.xml><?xml version="1.0" encoding="utf-8"?>
<sst xmlns="http://schemas.openxmlformats.org/spreadsheetml/2006/main" count="74" uniqueCount="63">
  <si>
    <t>PROYECTO: ANÁLISIS PREDICTIVO DE VENTAS Y RENDIMIENTO DE MARKETING</t>
  </si>
  <si>
    <t>Pregunta clave: ¿En qué mes de 2026 se proyectan las mayores ventas y cuál es la tendencia según las funciones de IA/Pronóstico?</t>
  </si>
  <si>
    <t>ID</t>
  </si>
  <si>
    <t>Fecha</t>
  </si>
  <si>
    <t>Mes</t>
  </si>
  <si>
    <t>Ventas Reales ($)</t>
  </si>
  <si>
    <t>Gasto Publicidad ($)</t>
  </si>
  <si>
    <t>Pronóstico IA / Proyección ($)</t>
  </si>
  <si>
    <t>01/01/2025</t>
  </si>
  <si>
    <t>Enero 2025</t>
  </si>
  <si>
    <t>01/02/2025</t>
  </si>
  <si>
    <t>Febrero 2025</t>
  </si>
  <si>
    <t>01/03/2025</t>
  </si>
  <si>
    <t>Marzo 2025</t>
  </si>
  <si>
    <t>01/04/2025</t>
  </si>
  <si>
    <t>Abril 2025</t>
  </si>
  <si>
    <t>01/05/2025</t>
  </si>
  <si>
    <t>Mayo 2025</t>
  </si>
  <si>
    <t>01/06/2025</t>
  </si>
  <si>
    <t>Junio 2025</t>
  </si>
  <si>
    <t>01/07/2025</t>
  </si>
  <si>
    <t>Julio 2025</t>
  </si>
  <si>
    <t>01/08/2025</t>
  </si>
  <si>
    <t>Agosto 2025</t>
  </si>
  <si>
    <t>01/09/2025</t>
  </si>
  <si>
    <t>Septiembre 2025</t>
  </si>
  <si>
    <t>01/10/2025</t>
  </si>
  <si>
    <t>Octubre 2025</t>
  </si>
  <si>
    <t>01/11/2025</t>
  </si>
  <si>
    <t>Noviembre 2025</t>
  </si>
  <si>
    <t>01/12/2025</t>
  </si>
  <si>
    <t>Diciembre 2025</t>
  </si>
  <si>
    <t>01/01/2026</t>
  </si>
  <si>
    <t>Enero 2026 (Proyección)</t>
  </si>
  <si>
    <t>---</t>
  </si>
  <si>
    <t>01/02/2026</t>
  </si>
  <si>
    <t>Febrero 2026 (Proyección)</t>
  </si>
  <si>
    <t>01/03/2026</t>
  </si>
  <si>
    <t>Marzo 2026 (Proyección)</t>
  </si>
  <si>
    <t>01/04/2026</t>
  </si>
  <si>
    <t>Abril 2026 (Proyección)</t>
  </si>
  <si>
    <t>01/05/2026</t>
  </si>
  <si>
    <t>Mayo 2026 (Proyección)</t>
  </si>
  <si>
    <t>01/06/2026</t>
  </si>
  <si>
    <t>Junio 2026 (Proyección)</t>
  </si>
  <si>
    <t>INTERPRETACIÓN DE RESULTADOS (ANÁLISIS DE IA Y PRONÓSTICO)</t>
  </si>
  <si>
    <t>1. Tendencia de Ventas: De acuerdo con la función predictiva de inteligencia artificial (PRONOSTICO.ETS), las ventas muestran una clara tendencia de crecimiento sostenido positivo mes a mes.
2. Respuesta a la Pregunta Clave: El mes en el que se proyectan mayores ventas dentro del periodo analizado es Junio de 2026, alcanzando un pico estimado que supera los $35,000 USD.
3. Conclusión de Negocio: La IA identifica estacionalidad positiva; se recomienda incrementar el presupuesto publicitario en los meses de mayor demanda proyectada.</t>
  </si>
  <si>
    <t>DOCUMENTACIÓN DEL PROYECTO DE EXCEL CON IA</t>
  </si>
  <si>
    <t>1. Tema Elegido</t>
  </si>
  <si>
    <t>Análisis de ventas mensuales históricas y proyección de tendencias futuras utilizando Inteligencia Artificial y Algoritmos Predictivos en Excel.</t>
  </si>
  <si>
    <t>2. Fuente de Datos</t>
  </si>
  <si>
    <t>Datos de rendimiento de ventas y campañas publicitarias simulados a partir de un escenario real de e-commerce/marketing digital (12 meses históricos de 2025).</t>
  </si>
  <si>
    <t>3. Funciones y Herramientas de IA Usadas</t>
  </si>
  <si>
    <t>• PRONOSTICO.ETS (Suavizado exponencial para series temporales).
• Analizar datos / Ideas en Excel (Pestaña Inicio &gt; Analizar datos / Copilot) para patrones automáticos.
• Hoja de Pronóstico de Excel para creación de gráficos dinámicos con intervalos de confianza.</t>
  </si>
  <si>
    <t>4. Pregunta Clave planteada</t>
  </si>
  <si>
    <t>¿En qué mes se proyectan mayores ventas para el primer semestre de 2026 y cuál es la tendencia proyectada?</t>
  </si>
  <si>
    <t>5. Conclusiones del Análisis</t>
  </si>
  <si>
    <t>• La herramienta predictiva determinó un crecimiento constante del modelo.
• Se proyecta que Junio de 2026 será el mes con mayores ventas.
• La integración de IA en Excel automatiza las proyecciones financieras reduciendo el margen de error humano.</t>
  </si>
  <si>
    <t>Escala de tiempo</t>
  </si>
  <si>
    <t>Valores</t>
  </si>
  <si>
    <t>Previsión</t>
  </si>
  <si>
    <t>Límite de confianza inferior</t>
  </si>
  <si>
    <t>Límite de confianza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</si>
</sst>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$#,##0"/>
    <numFmt numFmtId="169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b/>
      <i/>
      <sz val="10"/>
      <color rgb="FF333333"/>
      <name val="Segoe UI"/>
      <family val="2"/>
    </font>
    <font>
      <b/>
      <sz val="10"/>
      <color rgb="FFFFFFFF"/>
      <name val="Segoe UI"/>
      <family val="2"/>
    </font>
    <font>
      <b/>
      <sz val="11"/>
      <color rgb="FF003366"/>
      <name val="Calibri"/>
      <family val="2"/>
    </font>
    <font>
      <b/>
      <sz val="11"/>
      <color rgb="FF4A154B"/>
      <name val="Segoe UI"/>
      <family val="2"/>
    </font>
    <font>
      <b/>
      <sz val="11"/>
      <color rgb="FF6B2D5C"/>
      <name val="Segoe U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154B"/>
        <bgColor rgb="FF4A154B"/>
      </patternFill>
    </fill>
    <fill>
      <patternFill patternType="solid">
        <fgColor rgb="FF6B2D5C"/>
        <bgColor rgb="FF6B2D5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  <fill>
      <patternFill patternType="solid">
        <fgColor rgb="FFEBF3F9"/>
        <bgColor rgb="FFEBF3F9"/>
      </patternFill>
    </fill>
    <fill>
      <patternFill patternType="solid">
        <fgColor rgb="FFF4F8FB"/>
        <bgColor rgb="FFF4F8F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164" fontId="0" fillId="5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64" fontId="4" fillId="6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6" fillId="0" borderId="0" xfId="0" applyFont="1"/>
    <xf numFmtId="0" fontId="5" fillId="0" borderId="0" xfId="0" applyFont="1"/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0" fontId="0" fillId="6" borderId="1" xfId="0" quotePrefix="1" applyFill="1" applyBorder="1" applyAlignment="1">
      <alignment horizontal="center"/>
    </xf>
    <xf numFmtId="169" fontId="0" fillId="6" borderId="1" xfId="1" quotePrefix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3">
    <dxf>
      <numFmt numFmtId="164" formatCode="\$#,##0"/>
    </dxf>
    <dxf>
      <numFmt numFmtId="164" formatCode="\$#,##0"/>
    </dxf>
    <dxf>
      <numFmt numFmtId="164" formatCode="\$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Pronóstico!$B$1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Pronóstico!$B$2:$B$19</c:f>
              <c:numCache>
                <c:formatCode>\$#,##0</c:formatCode>
                <c:ptCount val="18"/>
                <c:pt idx="0">
                  <c:v>12000</c:v>
                </c:pt>
                <c:pt idx="1">
                  <c:v>13500</c:v>
                </c:pt>
                <c:pt idx="2">
                  <c:v>15000</c:v>
                </c:pt>
                <c:pt idx="3">
                  <c:v>14200</c:v>
                </c:pt>
                <c:pt idx="4">
                  <c:v>16800</c:v>
                </c:pt>
                <c:pt idx="5">
                  <c:v>18500</c:v>
                </c:pt>
                <c:pt idx="6">
                  <c:v>21000</c:v>
                </c:pt>
                <c:pt idx="7">
                  <c:v>22500</c:v>
                </c:pt>
                <c:pt idx="8">
                  <c:v>20800</c:v>
                </c:pt>
                <c:pt idx="9">
                  <c:v>24000</c:v>
                </c:pt>
                <c:pt idx="10">
                  <c:v>27500</c:v>
                </c:pt>
                <c:pt idx="11">
                  <c:v>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E-485F-B558-853CF4DD9358}"/>
            </c:ext>
          </c:extLst>
        </c:ser>
        <c:ser>
          <c:idx val="1"/>
          <c:order val="1"/>
          <c:tx>
            <c:strRef>
              <c:f>Pronóstico!$C$1</c:f>
              <c:strCache>
                <c:ptCount val="1"/>
                <c:pt idx="0">
                  <c:v>Previsión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Pronóstico!$A$2:$A$19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Pronóstico!$C$2:$C$19</c:f>
              <c:numCache>
                <c:formatCode>General</c:formatCode>
                <c:ptCount val="18"/>
                <c:pt idx="11" formatCode="\$#,##0">
                  <c:v>31000</c:v>
                </c:pt>
                <c:pt idx="12" formatCode="\$#,##0">
                  <c:v>31159.396681107741</c:v>
                </c:pt>
                <c:pt idx="13" formatCode="\$#,##0">
                  <c:v>33825.169753880102</c:v>
                </c:pt>
                <c:pt idx="14" formatCode="\$#,##0">
                  <c:v>36490.942826652463</c:v>
                </c:pt>
                <c:pt idx="15" formatCode="\$#,##0">
                  <c:v>39156.715899424831</c:v>
                </c:pt>
                <c:pt idx="16" formatCode="\$#,##0">
                  <c:v>41822.488972197192</c:v>
                </c:pt>
                <c:pt idx="17" formatCode="\$#,##0">
                  <c:v>44488.262044969553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E-485F-B558-853CF4DD9358}"/>
            </c:ext>
          </c:extLst>
        </c:ser>
        <c:ser>
          <c:idx val="2"/>
          <c:order val="2"/>
          <c:tx>
            <c:strRef>
              <c:f>Pronóstico!$D$1</c:f>
              <c:strCache>
                <c:ptCount val="1"/>
                <c:pt idx="0">
                  <c:v>Límite de confianza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Pronóstico!$A$2:$A$19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Pronóstico!$D$2:$D$19</c:f>
              <c:numCache>
                <c:formatCode>General</c:formatCode>
                <c:ptCount val="18"/>
                <c:pt idx="11" formatCode="\$#,##0">
                  <c:v>31000</c:v>
                </c:pt>
                <c:pt idx="12" formatCode="\$#,##0">
                  <c:v>27819.518940765302</c:v>
                </c:pt>
                <c:pt idx="13" formatCode="\$#,##0">
                  <c:v>30092.565365251896</c:v>
                </c:pt>
                <c:pt idx="14" formatCode="\$#,##0">
                  <c:v>31999.452939218318</c:v>
                </c:pt>
                <c:pt idx="15" formatCode="\$#,##0">
                  <c:v>33565.523144521329</c:v>
                </c:pt>
                <c:pt idx="16" formatCode="\$#,##0">
                  <c:v>34852.59542896472</c:v>
                </c:pt>
                <c:pt idx="17" formatCode="\$#,##0">
                  <c:v>35914.427687183721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E-485F-B558-853CF4DD9358}"/>
            </c:ext>
          </c:extLst>
        </c:ser>
        <c:ser>
          <c:idx val="3"/>
          <c:order val="3"/>
          <c:tx>
            <c:strRef>
              <c:f>Pronóstico!$E$1</c:f>
              <c:strCache>
                <c:ptCount val="1"/>
                <c:pt idx="0">
                  <c:v>Límite de confianza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Pronóstico!$A$2:$A$19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Pronóstico!$E$2:$E$19</c:f>
              <c:numCache>
                <c:formatCode>General</c:formatCode>
                <c:ptCount val="18"/>
                <c:pt idx="11" formatCode="\$#,##0">
                  <c:v>31000</c:v>
                </c:pt>
                <c:pt idx="12" formatCode="\$#,##0">
                  <c:v>34499.27442145018</c:v>
                </c:pt>
                <c:pt idx="13" formatCode="\$#,##0">
                  <c:v>37557.774142508308</c:v>
                </c:pt>
                <c:pt idx="14" formatCode="\$#,##0">
                  <c:v>40982.432714086608</c:v>
                </c:pt>
                <c:pt idx="15" formatCode="\$#,##0">
                  <c:v>44747.908654328334</c:v>
                </c:pt>
                <c:pt idx="16" formatCode="\$#,##0">
                  <c:v>48792.382515429665</c:v>
                </c:pt>
                <c:pt idx="17" formatCode="\$#,##0">
                  <c:v>53062.096402755385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5E-485F-B558-853CF4DD9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67039"/>
        <c:axId val="2123890607"/>
      </c:lineChart>
      <c:catAx>
        <c:axId val="21287670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3890607"/>
        <c:crosses val="autoZero"/>
        <c:auto val="1"/>
        <c:lblAlgn val="ctr"/>
        <c:lblOffset val="100"/>
        <c:noMultiLvlLbl val="0"/>
      </c:catAx>
      <c:valAx>
        <c:axId val="212389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876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0</xdr:rowOff>
    </xdr:from>
    <xdr:to>
      <xdr:col>14</xdr:col>
      <xdr:colOff>588645</xdr:colOff>
      <xdr:row>20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DDF71-71ED-3880-2998-0EFC93079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D2AAC-9C5D-40AF-9DE3-8FCAF4187888}" name="Tabla2" displayName="Tabla2" ref="A1:E19" totalsRowShown="0">
  <autoFilter ref="A1:E19" xr:uid="{825D2AAC-9C5D-40AF-9DE3-8FCAF4187888}"/>
  <tableColumns count="5">
    <tableColumn id="1" xr3:uid="{8A208094-A79E-4131-B425-D4BC37054769}" name="Escala de tiempo"/>
    <tableColumn id="2" xr3:uid="{C90EC883-6173-42E0-8439-FF4A79F72104}" name="Valores"/>
    <tableColumn id="3" xr3:uid="{2D8071FF-08E0-499E-B772-DD8AC854429A}" name="Previsión" dataDxfId="2">
      <calculatedColumnFormula>_xlfn.FORECAST.ETS(A2,$B$2:$B$13,$A$2:$A$13,1,1)</calculatedColumnFormula>
    </tableColumn>
    <tableColumn id="4" xr3:uid="{041B2294-8FD9-4D6A-BBDC-4B57C71058F8}" name="Límite de confianza inferior" dataDxfId="1">
      <calculatedColumnFormula>C2-_xlfn.FORECAST.ETS.CONFINT(A2,$B$2:$B$13,$A$2:$A$13,0.95,1,1)</calculatedColumnFormula>
    </tableColumn>
    <tableColumn id="5" xr3:uid="{F6D0220D-36A1-403D-A630-1E48271AC330}" name="Límite de confianza superior" dataDxfId="0">
      <calculatedColumnFormula>C2+_xlfn.FORECAST.ETS.CONFINT(A2,$B$2:$B$13,$A$2:$A$13,0.95,1,1)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6FF4-4E43-472B-85AE-AC273E1029FB}">
  <dimension ref="A1:E19"/>
  <sheetViews>
    <sheetView workbookViewId="0">
      <selection activeCell="J25" sqref="J25"/>
    </sheetView>
  </sheetViews>
  <sheetFormatPr baseColWidth="10" defaultRowHeight="14.4" x14ac:dyDescent="0.3"/>
  <cols>
    <col min="1" max="1" width="17" customWidth="1"/>
    <col min="4" max="4" width="25.6640625" customWidth="1"/>
    <col min="5" max="5" width="26.44140625" customWidth="1"/>
  </cols>
  <sheetData>
    <row r="1" spans="1:5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3">
      <c r="A2">
        <v>1</v>
      </c>
      <c r="B2" s="19">
        <v>12000</v>
      </c>
    </row>
    <row r="3" spans="1:5" x14ac:dyDescent="0.3">
      <c r="A3">
        <v>2</v>
      </c>
      <c r="B3" s="19">
        <v>13500</v>
      </c>
    </row>
    <row r="4" spans="1:5" x14ac:dyDescent="0.3">
      <c r="A4">
        <v>3</v>
      </c>
      <c r="B4" s="19">
        <v>15000</v>
      </c>
    </row>
    <row r="5" spans="1:5" x14ac:dyDescent="0.3">
      <c r="A5">
        <v>4</v>
      </c>
      <c r="B5" s="19">
        <v>14200</v>
      </c>
    </row>
    <row r="6" spans="1:5" x14ac:dyDescent="0.3">
      <c r="A6">
        <v>5</v>
      </c>
      <c r="B6" s="19">
        <v>16800</v>
      </c>
    </row>
    <row r="7" spans="1:5" x14ac:dyDescent="0.3">
      <c r="A7">
        <v>6</v>
      </c>
      <c r="B7" s="19">
        <v>18500</v>
      </c>
    </row>
    <row r="8" spans="1:5" x14ac:dyDescent="0.3">
      <c r="A8">
        <v>7</v>
      </c>
      <c r="B8" s="19">
        <v>21000</v>
      </c>
    </row>
    <row r="9" spans="1:5" x14ac:dyDescent="0.3">
      <c r="A9">
        <v>8</v>
      </c>
      <c r="B9" s="19">
        <v>22500</v>
      </c>
    </row>
    <row r="10" spans="1:5" x14ac:dyDescent="0.3">
      <c r="A10">
        <v>9</v>
      </c>
      <c r="B10" s="19">
        <v>20800</v>
      </c>
    </row>
    <row r="11" spans="1:5" x14ac:dyDescent="0.3">
      <c r="A11">
        <v>10</v>
      </c>
      <c r="B11" s="19">
        <v>24000</v>
      </c>
    </row>
    <row r="12" spans="1:5" x14ac:dyDescent="0.3">
      <c r="A12">
        <v>11</v>
      </c>
      <c r="B12" s="19">
        <v>27500</v>
      </c>
    </row>
    <row r="13" spans="1:5" x14ac:dyDescent="0.3">
      <c r="A13">
        <v>12</v>
      </c>
      <c r="B13" s="19">
        <v>31000</v>
      </c>
      <c r="C13" s="19">
        <v>31000</v>
      </c>
      <c r="D13" s="19">
        <v>31000</v>
      </c>
      <c r="E13" s="19">
        <v>31000</v>
      </c>
    </row>
    <row r="14" spans="1:5" x14ac:dyDescent="0.3">
      <c r="A14">
        <v>13</v>
      </c>
      <c r="C14" s="19">
        <f>_xlfn.FORECAST.ETS(A14,$B$2:$B$13,$A$2:$A$13,1,1)</f>
        <v>31159.396681107741</v>
      </c>
      <c r="D14" s="19">
        <f>C14-_xlfn.FORECAST.ETS.CONFINT(A14,$B$2:$B$13,$A$2:$A$13,0.95,1,1)</f>
        <v>27819.518940765302</v>
      </c>
      <c r="E14" s="19">
        <f>C14+_xlfn.FORECAST.ETS.CONFINT(A14,$B$2:$B$13,$A$2:$A$13,0.95,1,1)</f>
        <v>34499.27442145018</v>
      </c>
    </row>
    <row r="15" spans="1:5" x14ac:dyDescent="0.3">
      <c r="A15">
        <v>14</v>
      </c>
      <c r="C15" s="19">
        <f>_xlfn.FORECAST.ETS(A15,$B$2:$B$13,$A$2:$A$13,1,1)</f>
        <v>33825.169753880102</v>
      </c>
      <c r="D15" s="19">
        <f>C15-_xlfn.FORECAST.ETS.CONFINT(A15,$B$2:$B$13,$A$2:$A$13,0.95,1,1)</f>
        <v>30092.565365251896</v>
      </c>
      <c r="E15" s="19">
        <f>C15+_xlfn.FORECAST.ETS.CONFINT(A15,$B$2:$B$13,$A$2:$A$13,0.95,1,1)</f>
        <v>37557.774142508308</v>
      </c>
    </row>
    <row r="16" spans="1:5" x14ac:dyDescent="0.3">
      <c r="A16">
        <v>15</v>
      </c>
      <c r="C16" s="19">
        <f>_xlfn.FORECAST.ETS(A16,$B$2:$B$13,$A$2:$A$13,1,1)</f>
        <v>36490.942826652463</v>
      </c>
      <c r="D16" s="19">
        <f>C16-_xlfn.FORECAST.ETS.CONFINT(A16,$B$2:$B$13,$A$2:$A$13,0.95,1,1)</f>
        <v>31999.452939218318</v>
      </c>
      <c r="E16" s="19">
        <f>C16+_xlfn.FORECAST.ETS.CONFINT(A16,$B$2:$B$13,$A$2:$A$13,0.95,1,1)</f>
        <v>40982.432714086608</v>
      </c>
    </row>
    <row r="17" spans="1:5" x14ac:dyDescent="0.3">
      <c r="A17">
        <v>16</v>
      </c>
      <c r="C17" s="19">
        <f>_xlfn.FORECAST.ETS(A17,$B$2:$B$13,$A$2:$A$13,1,1)</f>
        <v>39156.715899424831</v>
      </c>
      <c r="D17" s="19">
        <f>C17-_xlfn.FORECAST.ETS.CONFINT(A17,$B$2:$B$13,$A$2:$A$13,0.95,1,1)</f>
        <v>33565.523144521329</v>
      </c>
      <c r="E17" s="19">
        <f>C17+_xlfn.FORECAST.ETS.CONFINT(A17,$B$2:$B$13,$A$2:$A$13,0.95,1,1)</f>
        <v>44747.908654328334</v>
      </c>
    </row>
    <row r="18" spans="1:5" x14ac:dyDescent="0.3">
      <c r="A18">
        <v>17</v>
      </c>
      <c r="C18" s="19">
        <f>_xlfn.FORECAST.ETS(A18,$B$2:$B$13,$A$2:$A$13,1,1)</f>
        <v>41822.488972197192</v>
      </c>
      <c r="D18" s="19">
        <f>C18-_xlfn.FORECAST.ETS.CONFINT(A18,$B$2:$B$13,$A$2:$A$13,0.95,1,1)</f>
        <v>34852.59542896472</v>
      </c>
      <c r="E18" s="19">
        <f>C18+_xlfn.FORECAST.ETS.CONFINT(A18,$B$2:$B$13,$A$2:$A$13,0.95,1,1)</f>
        <v>48792.382515429665</v>
      </c>
    </row>
    <row r="19" spans="1:5" x14ac:dyDescent="0.3">
      <c r="A19">
        <v>18</v>
      </c>
      <c r="C19" s="19">
        <f>_xlfn.FORECAST.ETS(A19,$B$2:$B$13,$A$2:$A$13,1,1)</f>
        <v>44488.262044969553</v>
      </c>
      <c r="D19" s="19">
        <f>C19-_xlfn.FORECAST.ETS.CONFINT(A19,$B$2:$B$13,$A$2:$A$13,0.95,1,1)</f>
        <v>35914.427687183721</v>
      </c>
      <c r="E19" s="19">
        <f>C19+_xlfn.FORECAST.ETS.CONFINT(A19,$B$2:$B$13,$A$2:$A$13,0.95,1,1)</f>
        <v>53062.096402755385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6" workbookViewId="0">
      <selection activeCell="A22" sqref="A22:XFD22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3" width="28" customWidth="1"/>
    <col min="4" max="4" width="22" customWidth="1"/>
    <col min="5" max="5" width="24" customWidth="1"/>
    <col min="6" max="6" width="32" customWidth="1"/>
    <col min="7" max="7" width="8.88671875" customWidth="1"/>
  </cols>
  <sheetData>
    <row r="1" spans="1:6" ht="34.950000000000003" customHeight="1" x14ac:dyDescent="0.3">
      <c r="A1" s="17" t="s">
        <v>0</v>
      </c>
      <c r="B1" s="15"/>
      <c r="C1" s="15"/>
      <c r="D1" s="15"/>
      <c r="E1" s="15"/>
      <c r="F1" s="15"/>
    </row>
    <row r="2" spans="1:6" ht="25.05" customHeight="1" x14ac:dyDescent="0.3">
      <c r="A2" s="16" t="s">
        <v>1</v>
      </c>
      <c r="B2" s="15"/>
      <c r="C2" s="15"/>
      <c r="D2" s="15"/>
      <c r="E2" s="15"/>
      <c r="F2" s="15"/>
    </row>
    <row r="4" spans="1:6" ht="25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9.95" customHeight="1" x14ac:dyDescent="0.3">
      <c r="A5" s="2">
        <v>1</v>
      </c>
      <c r="B5" s="2" t="s">
        <v>8</v>
      </c>
      <c r="C5" s="3" t="s">
        <v>9</v>
      </c>
      <c r="D5" s="4">
        <v>12000</v>
      </c>
      <c r="E5" s="4">
        <v>2000</v>
      </c>
      <c r="F5" s="4"/>
    </row>
    <row r="6" spans="1:6" ht="19.95" customHeight="1" x14ac:dyDescent="0.3">
      <c r="A6" s="5">
        <v>2</v>
      </c>
      <c r="B6" s="5" t="s">
        <v>10</v>
      </c>
      <c r="C6" s="6" t="s">
        <v>11</v>
      </c>
      <c r="D6" s="7">
        <v>13500</v>
      </c>
      <c r="E6" s="7">
        <v>2200</v>
      </c>
      <c r="F6" s="7"/>
    </row>
    <row r="7" spans="1:6" ht="19.95" customHeight="1" x14ac:dyDescent="0.3">
      <c r="A7" s="2">
        <v>3</v>
      </c>
      <c r="B7" s="2" t="s">
        <v>12</v>
      </c>
      <c r="C7" s="3" t="s">
        <v>13</v>
      </c>
      <c r="D7" s="4">
        <v>15000</v>
      </c>
      <c r="E7" s="4">
        <v>2500</v>
      </c>
      <c r="F7" s="4"/>
    </row>
    <row r="8" spans="1:6" ht="19.95" customHeight="1" x14ac:dyDescent="0.3">
      <c r="A8" s="5">
        <v>4</v>
      </c>
      <c r="B8" s="5" t="s">
        <v>14</v>
      </c>
      <c r="C8" s="6" t="s">
        <v>15</v>
      </c>
      <c r="D8" s="7">
        <v>14200</v>
      </c>
      <c r="E8" s="7">
        <v>2300</v>
      </c>
      <c r="F8" s="7"/>
    </row>
    <row r="9" spans="1:6" ht="19.95" customHeight="1" x14ac:dyDescent="0.3">
      <c r="A9" s="2">
        <v>5</v>
      </c>
      <c r="B9" s="2" t="s">
        <v>16</v>
      </c>
      <c r="C9" s="3" t="s">
        <v>17</v>
      </c>
      <c r="D9" s="4">
        <v>16800</v>
      </c>
      <c r="E9" s="4">
        <v>2800</v>
      </c>
      <c r="F9" s="4"/>
    </row>
    <row r="10" spans="1:6" ht="19.95" customHeight="1" x14ac:dyDescent="0.3">
      <c r="A10" s="5">
        <v>6</v>
      </c>
      <c r="B10" s="5" t="s">
        <v>18</v>
      </c>
      <c r="C10" s="6" t="s">
        <v>19</v>
      </c>
      <c r="D10" s="7">
        <v>18500</v>
      </c>
      <c r="E10" s="7">
        <v>3000</v>
      </c>
      <c r="F10" s="7"/>
    </row>
    <row r="11" spans="1:6" ht="19.95" customHeight="1" x14ac:dyDescent="0.3">
      <c r="A11" s="2">
        <v>7</v>
      </c>
      <c r="B11" s="2" t="s">
        <v>20</v>
      </c>
      <c r="C11" s="3" t="s">
        <v>21</v>
      </c>
      <c r="D11" s="4">
        <v>21000</v>
      </c>
      <c r="E11" s="4">
        <v>3500</v>
      </c>
      <c r="F11" s="4"/>
    </row>
    <row r="12" spans="1:6" ht="19.95" customHeight="1" x14ac:dyDescent="0.3">
      <c r="A12" s="2">
        <v>8</v>
      </c>
      <c r="B12" s="5" t="s">
        <v>22</v>
      </c>
      <c r="C12" s="6" t="s">
        <v>23</v>
      </c>
      <c r="D12" s="7">
        <v>22500</v>
      </c>
      <c r="E12" s="7">
        <v>3800</v>
      </c>
      <c r="F12" s="7"/>
    </row>
    <row r="13" spans="1:6" ht="19.95" customHeight="1" x14ac:dyDescent="0.3">
      <c r="A13" s="5">
        <v>9</v>
      </c>
      <c r="B13" s="2" t="s">
        <v>24</v>
      </c>
      <c r="C13" s="3" t="s">
        <v>25</v>
      </c>
      <c r="D13" s="4">
        <v>20800</v>
      </c>
      <c r="E13" s="4">
        <v>3400</v>
      </c>
      <c r="F13" s="4"/>
    </row>
    <row r="14" spans="1:6" ht="19.95" customHeight="1" x14ac:dyDescent="0.3">
      <c r="A14" s="2">
        <v>10</v>
      </c>
      <c r="B14" s="5" t="s">
        <v>26</v>
      </c>
      <c r="C14" s="6" t="s">
        <v>27</v>
      </c>
      <c r="D14" s="7">
        <v>24000</v>
      </c>
      <c r="E14" s="7">
        <v>4000</v>
      </c>
      <c r="F14" s="7"/>
    </row>
    <row r="15" spans="1:6" ht="19.95" customHeight="1" x14ac:dyDescent="0.3">
      <c r="A15" s="5">
        <v>11</v>
      </c>
      <c r="B15" s="2" t="s">
        <v>28</v>
      </c>
      <c r="C15" s="3" t="s">
        <v>29</v>
      </c>
      <c r="D15" s="4">
        <v>27500</v>
      </c>
      <c r="E15" s="4">
        <v>4500</v>
      </c>
      <c r="F15" s="4"/>
    </row>
    <row r="16" spans="1:6" ht="19.95" customHeight="1" x14ac:dyDescent="0.3">
      <c r="A16" s="2">
        <v>12</v>
      </c>
      <c r="B16" s="5" t="s">
        <v>30</v>
      </c>
      <c r="C16" s="6" t="s">
        <v>31</v>
      </c>
      <c r="D16" s="7">
        <v>31000</v>
      </c>
      <c r="E16" s="7">
        <v>5200</v>
      </c>
      <c r="F16" s="7"/>
    </row>
    <row r="17" spans="1:6" ht="19.95" customHeight="1" x14ac:dyDescent="0.3">
      <c r="A17" s="5">
        <v>13</v>
      </c>
      <c r="B17" s="8" t="s">
        <v>32</v>
      </c>
      <c r="C17" s="9" t="s">
        <v>33</v>
      </c>
      <c r="D17" s="21" t="s">
        <v>34</v>
      </c>
      <c r="E17" s="20" t="s">
        <v>34</v>
      </c>
      <c r="F17" s="10">
        <f>_xlfn.FORECAST.ETS(Datos_y_Analisis!A17, $D$5:$D$16, $A$5:$A$16)</f>
        <v>31159.396681107741</v>
      </c>
    </row>
    <row r="18" spans="1:6" ht="19.95" customHeight="1" x14ac:dyDescent="0.3">
      <c r="A18" s="2">
        <v>14</v>
      </c>
      <c r="B18" s="11" t="s">
        <v>35</v>
      </c>
      <c r="C18" s="12" t="s">
        <v>36</v>
      </c>
      <c r="D18" s="11" t="s">
        <v>34</v>
      </c>
      <c r="E18" s="11" t="s">
        <v>34</v>
      </c>
      <c r="F18" s="10">
        <f t="shared" ref="F18:F22" si="0">_xlfn.FORECAST.ETS(A18, $D$5:$D$16, $A$5:$A$16)</f>
        <v>33825.169753880102</v>
      </c>
    </row>
    <row r="19" spans="1:6" ht="19.95" customHeight="1" x14ac:dyDescent="0.3">
      <c r="A19" s="2">
        <v>15</v>
      </c>
      <c r="B19" s="8" t="s">
        <v>37</v>
      </c>
      <c r="C19" s="9" t="s">
        <v>38</v>
      </c>
      <c r="D19" s="8" t="s">
        <v>34</v>
      </c>
      <c r="E19" s="8" t="s">
        <v>34</v>
      </c>
      <c r="F19" s="10">
        <f t="shared" si="0"/>
        <v>36490.942826652463</v>
      </c>
    </row>
    <row r="20" spans="1:6" ht="19.95" customHeight="1" x14ac:dyDescent="0.3">
      <c r="A20" s="5">
        <v>16</v>
      </c>
      <c r="B20" s="11" t="s">
        <v>39</v>
      </c>
      <c r="C20" s="12" t="s">
        <v>40</v>
      </c>
      <c r="D20" s="11" t="s">
        <v>34</v>
      </c>
      <c r="E20" s="11" t="s">
        <v>34</v>
      </c>
      <c r="F20" s="10">
        <f t="shared" si="0"/>
        <v>39156.715899424831</v>
      </c>
    </row>
    <row r="21" spans="1:6" ht="19.95" customHeight="1" x14ac:dyDescent="0.3">
      <c r="A21" s="2">
        <v>17</v>
      </c>
      <c r="B21" s="8" t="s">
        <v>41</v>
      </c>
      <c r="C21" s="9" t="s">
        <v>42</v>
      </c>
      <c r="D21" s="8" t="s">
        <v>34</v>
      </c>
      <c r="E21" s="8" t="s">
        <v>34</v>
      </c>
      <c r="F21" s="10">
        <f t="shared" si="0"/>
        <v>41822.488972197192</v>
      </c>
    </row>
    <row r="22" spans="1:6" ht="19.95" customHeight="1" x14ac:dyDescent="0.3">
      <c r="A22" s="5">
        <v>18</v>
      </c>
      <c r="B22" s="11" t="s">
        <v>43</v>
      </c>
      <c r="C22" s="12" t="s">
        <v>44</v>
      </c>
      <c r="D22" s="11" t="s">
        <v>34</v>
      </c>
      <c r="E22" s="11" t="s">
        <v>34</v>
      </c>
      <c r="F22" s="10">
        <f t="shared" si="0"/>
        <v>44488.262044969553</v>
      </c>
    </row>
    <row r="24" spans="1:6" ht="16.8" x14ac:dyDescent="0.4">
      <c r="A24" s="14" t="s">
        <v>45</v>
      </c>
      <c r="B24" s="15"/>
      <c r="C24" s="15"/>
      <c r="D24" s="15"/>
      <c r="E24" s="15"/>
      <c r="F24" s="15"/>
    </row>
    <row r="25" spans="1:6" x14ac:dyDescent="0.3">
      <c r="A25" s="18" t="s">
        <v>46</v>
      </c>
      <c r="B25" s="15"/>
      <c r="C25" s="15"/>
      <c r="D25" s="15"/>
      <c r="E25" s="15"/>
      <c r="F25" s="15"/>
    </row>
    <row r="26" spans="1:6" x14ac:dyDescent="0.3">
      <c r="A26" s="15"/>
      <c r="B26" s="15"/>
      <c r="C26" s="15"/>
      <c r="D26" s="15"/>
      <c r="E26" s="15"/>
      <c r="F26" s="15"/>
    </row>
    <row r="27" spans="1:6" x14ac:dyDescent="0.3">
      <c r="A27" s="15"/>
      <c r="B27" s="15"/>
      <c r="C27" s="15"/>
      <c r="D27" s="15"/>
      <c r="E27" s="15"/>
      <c r="F27" s="15"/>
    </row>
  </sheetData>
  <mergeCells count="4">
    <mergeCell ref="A24:F24"/>
    <mergeCell ref="A2:F2"/>
    <mergeCell ref="A1:F1"/>
    <mergeCell ref="A25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opLeftCell="A6" workbookViewId="0">
      <selection activeCell="I8" sqref="I8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3" width="28" customWidth="1"/>
    <col min="4" max="4" width="22" customWidth="1"/>
    <col min="5" max="5" width="24" customWidth="1"/>
    <col min="6" max="6" width="32" customWidth="1"/>
  </cols>
  <sheetData>
    <row r="1" spans="1:5" ht="34.950000000000003" customHeight="1" x14ac:dyDescent="0.3">
      <c r="A1" s="17" t="s">
        <v>47</v>
      </c>
      <c r="B1" s="15"/>
      <c r="C1" s="15"/>
      <c r="D1" s="15"/>
      <c r="E1" s="15"/>
    </row>
    <row r="3" spans="1:5" ht="16.8" x14ac:dyDescent="0.4">
      <c r="A3" s="13" t="s">
        <v>48</v>
      </c>
    </row>
    <row r="4" spans="1:5" ht="45" customHeight="1" x14ac:dyDescent="0.3">
      <c r="A4" s="18" t="s">
        <v>49</v>
      </c>
      <c r="B4" s="15"/>
      <c r="C4" s="15"/>
      <c r="D4" s="15"/>
      <c r="E4" s="15"/>
    </row>
    <row r="5" spans="1:5" ht="16.8" x14ac:dyDescent="0.4">
      <c r="A5" s="13" t="s">
        <v>50</v>
      </c>
    </row>
    <row r="6" spans="1:5" ht="45" customHeight="1" x14ac:dyDescent="0.3">
      <c r="A6" s="18" t="s">
        <v>51</v>
      </c>
      <c r="B6" s="15"/>
      <c r="C6" s="15"/>
      <c r="D6" s="15"/>
      <c r="E6" s="15"/>
    </row>
    <row r="7" spans="1:5" ht="16.8" x14ac:dyDescent="0.4">
      <c r="A7" s="13" t="s">
        <v>52</v>
      </c>
    </row>
    <row r="8" spans="1:5" ht="45" customHeight="1" x14ac:dyDescent="0.3">
      <c r="A8" s="18" t="s">
        <v>53</v>
      </c>
      <c r="B8" s="15"/>
      <c r="C8" s="15"/>
      <c r="D8" s="15"/>
      <c r="E8" s="15"/>
    </row>
    <row r="9" spans="1:5" ht="16.8" x14ac:dyDescent="0.4">
      <c r="A9" s="13" t="s">
        <v>54</v>
      </c>
    </row>
    <row r="10" spans="1:5" ht="45" customHeight="1" x14ac:dyDescent="0.3">
      <c r="A10" s="18" t="s">
        <v>55</v>
      </c>
      <c r="B10" s="15"/>
      <c r="C10" s="15"/>
      <c r="D10" s="15"/>
      <c r="E10" s="15"/>
    </row>
    <row r="11" spans="1:5" ht="16.8" x14ac:dyDescent="0.4">
      <c r="A11" s="13" t="s">
        <v>56</v>
      </c>
    </row>
    <row r="12" spans="1:5" ht="45" customHeight="1" x14ac:dyDescent="0.3">
      <c r="A12" s="18" t="s">
        <v>57</v>
      </c>
      <c r="B12" s="15"/>
      <c r="C12" s="15"/>
      <c r="D12" s="15"/>
      <c r="E12" s="15"/>
    </row>
  </sheetData>
  <mergeCells count="6">
    <mergeCell ref="A12:E12"/>
    <mergeCell ref="A4:E4"/>
    <mergeCell ref="A8:E8"/>
    <mergeCell ref="A1:E1"/>
    <mergeCell ref="A10:E10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Pronóstico</vt:lpstr>
      <vt:lpstr>Datos_y_Analisis</vt:lpstr>
      <vt:lpstr>Documentacion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C</cp:lastModifiedBy>
  <dcterms:created xsi:type="dcterms:W3CDTF">2026-08-26T01:34:12Z</dcterms:created>
  <dcterms:modified xsi:type="dcterms:W3CDTF">2026-08-30T00:18:18Z</dcterms:modified>
</cp:coreProperties>
</file>